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a680b6d3fc7c2d3/Documents/"/>
    </mc:Choice>
  </mc:AlternateContent>
  <xr:revisionPtr revIDLastSave="0" documentId="8_{B243940E-BD57-484D-9E84-ECEF17DDB84D}" xr6:coauthVersionLast="47" xr6:coauthVersionMax="47" xr10:uidLastSave="{00000000-0000-0000-0000-000000000000}"/>
  <bookViews>
    <workbookView xWindow="-108" yWindow="-108" windowWidth="23256" windowHeight="12456" xr2:uid="{D4F8F7D2-2BA6-4804-9ECC-07B7960045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1" l="1"/>
  <c r="E17" i="1"/>
  <c r="E16" i="1"/>
  <c r="E15" i="1"/>
  <c r="J3" i="1"/>
  <c r="J4" i="1"/>
  <c r="J5" i="1"/>
  <c r="J6" i="1"/>
  <c r="J7" i="1"/>
  <c r="J8" i="1"/>
  <c r="J9" i="1"/>
  <c r="J10" i="1"/>
  <c r="J11" i="1"/>
  <c r="J2" i="1"/>
</calcChain>
</file>

<file path=xl/sharedStrings.xml><?xml version="1.0" encoding="utf-8"?>
<sst xmlns="http://schemas.openxmlformats.org/spreadsheetml/2006/main" count="56" uniqueCount="38">
  <si>
    <t>MATCH_ID</t>
  </si>
  <si>
    <t>FORMAT</t>
  </si>
  <si>
    <t>0PPONENT</t>
  </si>
  <si>
    <t>MATCH DATE</t>
  </si>
  <si>
    <t>VENUE</t>
  </si>
  <si>
    <t>RUNS</t>
  </si>
  <si>
    <t>BALLS FACED</t>
  </si>
  <si>
    <t>CENTURIES</t>
  </si>
  <si>
    <t>FIFITIES</t>
  </si>
  <si>
    <t>STRIKE RATE</t>
  </si>
  <si>
    <t>RESULT</t>
  </si>
  <si>
    <t xml:space="preserve">ODI </t>
  </si>
  <si>
    <t>TEST</t>
  </si>
  <si>
    <t>T20I</t>
  </si>
  <si>
    <t>sri lanka</t>
  </si>
  <si>
    <t>new zealand</t>
  </si>
  <si>
    <t>south africa</t>
  </si>
  <si>
    <t>afghanistan</t>
  </si>
  <si>
    <t>australia</t>
  </si>
  <si>
    <t>england</t>
  </si>
  <si>
    <t>pakistan</t>
  </si>
  <si>
    <t>bangladesh</t>
  </si>
  <si>
    <t>kolkata</t>
  </si>
  <si>
    <t>mumbai</t>
  </si>
  <si>
    <t>pune</t>
  </si>
  <si>
    <t>dubai</t>
  </si>
  <si>
    <t>melbourne</t>
  </si>
  <si>
    <t>nottigham</t>
  </si>
  <si>
    <t>ahmedabad</t>
  </si>
  <si>
    <t>adelaida</t>
  </si>
  <si>
    <t>dhaka</t>
  </si>
  <si>
    <t>win</t>
  </si>
  <si>
    <t>lose</t>
  </si>
  <si>
    <t>YEAR</t>
  </si>
  <si>
    <t>TOTAL RUNS</t>
  </si>
  <si>
    <t>AVERAGE RUNS</t>
  </si>
  <si>
    <t>HIGHEST SCORE</t>
  </si>
  <si>
    <t>TOTAL CENTURIES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</si>
</sst>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0" fillId="0" borderId="2" xfId="0" applyBorder="1"/>
    <xf numFmtId="0" fontId="0" fillId="0" borderId="1" xfId="0" applyBorder="1"/>
    <xf numFmtId="14" fontId="0" fillId="0" borderId="1" xfId="0" applyNumberFormat="1" applyBorder="1"/>
    <xf numFmtId="2" fontId="0" fillId="0" borderId="1" xfId="0" applyNumberFormat="1" applyBorder="1"/>
    <xf numFmtId="0" fontId="0" fillId="0" borderId="3" xfId="0" applyBorder="1"/>
    <xf numFmtId="2" fontId="0" fillId="0" borderId="1" xfId="1" applyNumberFormat="1" applyFont="1" applyFill="1" applyBorder="1"/>
    <xf numFmtId="0" fontId="0" fillId="0" borderId="7" xfId="0" applyBorder="1"/>
    <xf numFmtId="0" fontId="0" fillId="0" borderId="8" xfId="0" applyBorder="1"/>
    <xf numFmtId="14" fontId="0" fillId="0" borderId="8" xfId="0" applyNumberFormat="1" applyBorder="1"/>
    <xf numFmtId="2" fontId="0" fillId="0" borderId="8" xfId="0" applyNumberFormat="1" applyBorder="1"/>
    <xf numFmtId="0" fontId="0" fillId="0" borderId="9" xfId="0" applyBorder="1"/>
    <xf numFmtId="0" fontId="2" fillId="0" borderId="1" xfId="0" applyFont="1" applyBorder="1"/>
  </cellXfs>
  <cellStyles count="2">
    <cellStyle name="Normal" xfId="0" builtinId="0"/>
    <cellStyle name="Percent" xfId="1" builtinId="5"/>
  </cellStyles>
  <dxfs count="17"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C21319-6C11-4DF2-B811-EEB5F4FBF301}" name="Table1" displayName="Table1" ref="A1:L11" totalsRowShown="0" headerRowDxfId="16" dataDxfId="14" headerRowBorderDxfId="15" tableBorderDxfId="13" totalsRowBorderDxfId="12">
  <autoFilter ref="A1:L11" xr:uid="{5DC21319-6C11-4DF2-B811-EEB5F4FBF301}"/>
  <tableColumns count="12">
    <tableColumn id="1" xr3:uid="{522A30AF-B00F-41D5-B333-E59B3AED052D}" name="MATCH_ID" dataDxfId="11"/>
    <tableColumn id="2" xr3:uid="{A0BAC245-E26A-4AC2-9F04-68BEAFC41FFB}" name="FORMAT" dataDxfId="10"/>
    <tableColumn id="3" xr3:uid="{77FDC779-36FA-4038-880E-544255DFB13B}" name="0PPONENT" dataDxfId="9"/>
    <tableColumn id="4" xr3:uid="{8CFC1CD8-F3D5-433A-ABB6-166D0FF0F7FC}" name="MATCH DATE" dataDxfId="8"/>
    <tableColumn id="5" xr3:uid="{5BA3B813-95E5-442F-9623-CCC539395E88}" name="VENUE" dataDxfId="7"/>
    <tableColumn id="6" xr3:uid="{6583924F-510A-4252-A5F1-BAABEC8B2EDE}" name="RUNS" dataDxfId="6"/>
    <tableColumn id="7" xr3:uid="{07CA20C0-51FC-4DBB-8AFD-5E14E96C1E9A}" name="BALLS FACED" dataDxfId="5"/>
    <tableColumn id="8" xr3:uid="{EE344F40-28CC-4DF3-A651-CFA2D141DD7A}" name="CENTURIES" dataDxfId="4"/>
    <tableColumn id="9" xr3:uid="{36A051D2-D73F-44DB-B1B4-5A10718600DC}" name="FIFITIES" dataDxfId="3"/>
    <tableColumn id="10" xr3:uid="{B850CE64-A61B-43E8-8FCF-7AA228A43544}" name="STRIKE RATE" dataDxfId="2">
      <calculatedColumnFormula>(F2/G2)*100</calculatedColumnFormula>
    </tableColumn>
    <tableColumn id="11" xr3:uid="{3B644A77-348D-4713-970D-5DA68F0B2279}" name="RESULT" dataDxfId="1"/>
    <tableColumn id="12" xr3:uid="{9B195893-DAD9-4169-B2F0-277F80B52BF6}" name="YE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D708A-6B5D-45AB-AE0A-24559F487800}">
  <dimension ref="A1:L17"/>
  <sheetViews>
    <sheetView tabSelected="1" zoomScale="120" zoomScaleNormal="120" workbookViewId="0">
      <selection activeCell="E15" sqref="E15"/>
    </sheetView>
  </sheetViews>
  <sheetFormatPr defaultRowHeight="14.4" x14ac:dyDescent="0.3"/>
  <cols>
    <col min="1" max="1" width="11.21875" customWidth="1"/>
    <col min="2" max="2" width="12.44140625" customWidth="1"/>
    <col min="3" max="3" width="13.5546875" customWidth="1"/>
    <col min="4" max="4" width="14.44140625" customWidth="1"/>
    <col min="5" max="5" width="12.77734375" customWidth="1"/>
    <col min="6" max="6" width="10" customWidth="1"/>
    <col min="7" max="7" width="13.6640625" customWidth="1"/>
    <col min="8" max="8" width="15" customWidth="1"/>
    <col min="9" max="9" width="12.88671875" customWidth="1"/>
    <col min="10" max="10" width="14.5546875" customWidth="1"/>
    <col min="11" max="11" width="13.6640625" customWidth="1"/>
    <col min="12" max="12" width="13" customWidth="1"/>
    <col min="13" max="13" width="12.33203125" customWidth="1"/>
  </cols>
  <sheetData>
    <row r="1" spans="1:12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33</v>
      </c>
    </row>
    <row r="2" spans="1:12" x14ac:dyDescent="0.3">
      <c r="A2" s="4">
        <v>101</v>
      </c>
      <c r="B2" s="5" t="s">
        <v>11</v>
      </c>
      <c r="C2" s="5" t="s">
        <v>14</v>
      </c>
      <c r="D2" s="6">
        <v>40171</v>
      </c>
      <c r="E2" s="5" t="s">
        <v>22</v>
      </c>
      <c r="F2" s="5">
        <v>107</v>
      </c>
      <c r="G2" s="5">
        <v>114</v>
      </c>
      <c r="H2" s="5">
        <v>1</v>
      </c>
      <c r="I2" s="5">
        <v>0</v>
      </c>
      <c r="J2" s="7">
        <f>(F2/G2)*100</f>
        <v>93.859649122807014</v>
      </c>
      <c r="K2" s="5" t="s">
        <v>31</v>
      </c>
      <c r="L2" s="8">
        <v>2009</v>
      </c>
    </row>
    <row r="3" spans="1:12" x14ac:dyDescent="0.3">
      <c r="A3" s="4">
        <v>102</v>
      </c>
      <c r="B3" s="5" t="s">
        <v>11</v>
      </c>
      <c r="C3" s="5" t="s">
        <v>15</v>
      </c>
      <c r="D3" s="6">
        <v>45245</v>
      </c>
      <c r="E3" s="5" t="s">
        <v>23</v>
      </c>
      <c r="F3" s="5">
        <v>117</v>
      </c>
      <c r="G3" s="5">
        <v>113</v>
      </c>
      <c r="H3" s="5">
        <v>1</v>
      </c>
      <c r="I3" s="5">
        <v>0</v>
      </c>
      <c r="J3" s="7">
        <f t="shared" ref="J3:J11" si="0">(F3/G3)*100</f>
        <v>103.53982300884957</v>
      </c>
      <c r="K3" s="5" t="s">
        <v>31</v>
      </c>
      <c r="L3" s="8">
        <v>2023</v>
      </c>
    </row>
    <row r="4" spans="1:12" x14ac:dyDescent="0.3">
      <c r="A4" s="4">
        <v>103</v>
      </c>
      <c r="B4" s="5" t="s">
        <v>12</v>
      </c>
      <c r="C4" s="5" t="s">
        <v>16</v>
      </c>
      <c r="D4" s="6">
        <v>43748</v>
      </c>
      <c r="E4" s="5" t="s">
        <v>24</v>
      </c>
      <c r="F4" s="5">
        <v>254</v>
      </c>
      <c r="G4" s="5">
        <v>336</v>
      </c>
      <c r="H4" s="5">
        <v>1</v>
      </c>
      <c r="I4" s="5">
        <v>0</v>
      </c>
      <c r="J4" s="7">
        <f t="shared" si="0"/>
        <v>75.595238095238088</v>
      </c>
      <c r="K4" s="5" t="s">
        <v>31</v>
      </c>
      <c r="L4" s="8">
        <v>2019</v>
      </c>
    </row>
    <row r="5" spans="1:12" x14ac:dyDescent="0.3">
      <c r="A5" s="4">
        <v>104</v>
      </c>
      <c r="B5" s="5" t="s">
        <v>13</v>
      </c>
      <c r="C5" s="5" t="s">
        <v>17</v>
      </c>
      <c r="D5" s="6">
        <v>44812</v>
      </c>
      <c r="E5" s="5" t="s">
        <v>25</v>
      </c>
      <c r="F5" s="5">
        <v>122</v>
      </c>
      <c r="G5" s="5">
        <v>61</v>
      </c>
      <c r="H5" s="5">
        <v>1</v>
      </c>
      <c r="I5" s="5">
        <v>0</v>
      </c>
      <c r="J5" s="5">
        <f t="shared" si="0"/>
        <v>200</v>
      </c>
      <c r="K5" s="5" t="s">
        <v>31</v>
      </c>
      <c r="L5" s="8">
        <v>2022</v>
      </c>
    </row>
    <row r="6" spans="1:12" x14ac:dyDescent="0.3">
      <c r="A6" s="4">
        <v>105</v>
      </c>
      <c r="B6" s="5" t="s">
        <v>11</v>
      </c>
      <c r="C6" s="5" t="s">
        <v>18</v>
      </c>
      <c r="D6" s="6">
        <v>42386</v>
      </c>
      <c r="E6" s="5" t="s">
        <v>26</v>
      </c>
      <c r="F6" s="5">
        <v>117</v>
      </c>
      <c r="G6" s="5">
        <v>117</v>
      </c>
      <c r="H6" s="5">
        <v>1</v>
      </c>
      <c r="I6" s="5">
        <v>0</v>
      </c>
      <c r="J6" s="5">
        <f t="shared" si="0"/>
        <v>100</v>
      </c>
      <c r="K6" s="9" t="s">
        <v>32</v>
      </c>
      <c r="L6" s="8">
        <v>2016</v>
      </c>
    </row>
    <row r="7" spans="1:12" x14ac:dyDescent="0.3">
      <c r="A7" s="4">
        <v>106</v>
      </c>
      <c r="B7" s="5" t="s">
        <v>12</v>
      </c>
      <c r="C7" s="5" t="s">
        <v>19</v>
      </c>
      <c r="D7" s="6">
        <v>43330</v>
      </c>
      <c r="E7" s="5" t="s">
        <v>27</v>
      </c>
      <c r="F7" s="5">
        <v>103</v>
      </c>
      <c r="G7" s="5">
        <v>197</v>
      </c>
      <c r="H7" s="5">
        <v>1</v>
      </c>
      <c r="I7" s="5">
        <v>0</v>
      </c>
      <c r="J7" s="7">
        <f t="shared" si="0"/>
        <v>52.284263959390863</v>
      </c>
      <c r="K7" s="5" t="s">
        <v>31</v>
      </c>
      <c r="L7" s="8">
        <v>2018</v>
      </c>
    </row>
    <row r="8" spans="1:12" x14ac:dyDescent="0.3">
      <c r="A8" s="4">
        <v>107</v>
      </c>
      <c r="B8" s="5" t="s">
        <v>11</v>
      </c>
      <c r="C8" s="5" t="s">
        <v>20</v>
      </c>
      <c r="D8" s="6">
        <v>45213</v>
      </c>
      <c r="E8" s="5" t="s">
        <v>28</v>
      </c>
      <c r="F8" s="5">
        <v>85</v>
      </c>
      <c r="G8" s="5">
        <v>76</v>
      </c>
      <c r="H8" s="5">
        <v>0</v>
      </c>
      <c r="I8" s="5">
        <v>1</v>
      </c>
      <c r="J8" s="7">
        <f t="shared" si="0"/>
        <v>111.8421052631579</v>
      </c>
      <c r="K8" s="5" t="s">
        <v>31</v>
      </c>
      <c r="L8" s="8">
        <v>2023</v>
      </c>
    </row>
    <row r="9" spans="1:12" x14ac:dyDescent="0.3">
      <c r="A9" s="4">
        <v>108</v>
      </c>
      <c r="B9" s="5" t="s">
        <v>13</v>
      </c>
      <c r="C9" s="5" t="s">
        <v>20</v>
      </c>
      <c r="D9" s="6">
        <v>44857</v>
      </c>
      <c r="E9" s="5" t="s">
        <v>26</v>
      </c>
      <c r="F9" s="5">
        <v>82</v>
      </c>
      <c r="G9" s="5">
        <v>53</v>
      </c>
      <c r="H9" s="5">
        <v>0</v>
      </c>
      <c r="I9" s="5">
        <v>1</v>
      </c>
      <c r="J9" s="7">
        <f t="shared" si="0"/>
        <v>154.71698113207549</v>
      </c>
      <c r="K9" s="5" t="s">
        <v>31</v>
      </c>
      <c r="L9" s="8">
        <v>2022</v>
      </c>
    </row>
    <row r="10" spans="1:12" x14ac:dyDescent="0.3">
      <c r="A10" s="4">
        <v>109</v>
      </c>
      <c r="B10" s="5" t="s">
        <v>12</v>
      </c>
      <c r="C10" s="5" t="s">
        <v>18</v>
      </c>
      <c r="D10" s="6">
        <v>41982</v>
      </c>
      <c r="E10" s="5" t="s">
        <v>29</v>
      </c>
      <c r="F10" s="5">
        <v>141</v>
      </c>
      <c r="G10" s="5">
        <v>256</v>
      </c>
      <c r="H10" s="5">
        <v>1</v>
      </c>
      <c r="I10" s="5">
        <v>0</v>
      </c>
      <c r="J10" s="7">
        <f t="shared" si="0"/>
        <v>55.078125</v>
      </c>
      <c r="K10" s="5" t="s">
        <v>32</v>
      </c>
      <c r="L10" s="8">
        <v>2014</v>
      </c>
    </row>
    <row r="11" spans="1:12" x14ac:dyDescent="0.3">
      <c r="A11" s="10">
        <v>110</v>
      </c>
      <c r="B11" s="11" t="s">
        <v>11</v>
      </c>
      <c r="C11" s="11" t="s">
        <v>21</v>
      </c>
      <c r="D11" s="12">
        <v>40593</v>
      </c>
      <c r="E11" s="11" t="s">
        <v>30</v>
      </c>
      <c r="F11" s="11">
        <v>100</v>
      </c>
      <c r="G11" s="11">
        <v>83</v>
      </c>
      <c r="H11" s="11">
        <v>1</v>
      </c>
      <c r="I11" s="11">
        <v>0</v>
      </c>
      <c r="J11" s="13">
        <f t="shared" si="0"/>
        <v>120.48192771084338</v>
      </c>
      <c r="K11" s="11" t="s">
        <v>31</v>
      </c>
      <c r="L11" s="14">
        <v>2011</v>
      </c>
    </row>
    <row r="14" spans="1:12" x14ac:dyDescent="0.3">
      <c r="D14" s="15" t="s">
        <v>34</v>
      </c>
      <c r="E14" s="15">
        <f>SUM(F2:F11)</f>
        <v>1228</v>
      </c>
    </row>
    <row r="15" spans="1:12" x14ac:dyDescent="0.3">
      <c r="D15" s="15" t="s">
        <v>35</v>
      </c>
      <c r="E15" s="15">
        <f>AVERAGE(F2:F11)</f>
        <v>122.8</v>
      </c>
    </row>
    <row r="16" spans="1:12" x14ac:dyDescent="0.3">
      <c r="D16" s="15" t="s">
        <v>36</v>
      </c>
      <c r="E16" s="15">
        <f>MAX(F2:F11)</f>
        <v>254</v>
      </c>
    </row>
    <row r="17" spans="4:5" x14ac:dyDescent="0.3">
      <c r="D17" s="15" t="s">
        <v>37</v>
      </c>
      <c r="E17" s="15">
        <f>SUM(H2:H11)</f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gunavathi12006@gmail.com</dc:creator>
  <cp:lastModifiedBy>gunavathi12006@gmail.com</cp:lastModifiedBy>
  <dcterms:created xsi:type="dcterms:W3CDTF">2026-05-09T07:31:42Z</dcterms:created>
  <dcterms:modified xsi:type="dcterms:W3CDTF">2026-05-09T15:48:34Z</dcterms:modified>
</cp:coreProperties>
</file>